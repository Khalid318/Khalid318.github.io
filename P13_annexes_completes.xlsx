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Projet_13\Khalid318.github.io\"/>
    </mc:Choice>
  </mc:AlternateContent>
  <xr:revisionPtr revIDLastSave="0" documentId="13_ncr:1_{08E4FF45-2B57-4480-861E-E9D66B2F6BC0}" xr6:coauthVersionLast="47" xr6:coauthVersionMax="47" xr10:uidLastSave="{00000000-0000-0000-0000-000000000000}"/>
  <bookViews>
    <workbookView xWindow="-120" yWindow="-120" windowWidth="29040" windowHeight="15720" tabRatio="500" firstSheet="4" activeTab="5" xr2:uid="{00000000-000D-0000-FFFF-FFFF00000000}"/>
  </bookViews>
  <sheets>
    <sheet name="1. Cloud" sheetId="1" r:id="rId1"/>
    <sheet name="2. Base de données" sheetId="2" r:id="rId2"/>
    <sheet name="3. Framework API" sheetId="3" r:id="rId3"/>
    <sheet name="4. Orchestrateur" sheetId="4" r:id="rId4"/>
    <sheet name="5. Monitoring LLM" sheetId="5" r:id="rId5"/>
    <sheet name="6. Recherche web" sheetId="6" r:id="rId6"/>
    <sheet name="7. LLM" sheetId="7" r:id="rId7"/>
    <sheet name="Résumé choix" sheetId="8" r:id="rId8"/>
    <sheet name="Macro Backlog" sheetId="9" r:id="rId9"/>
    <sheet name="CAPEX" sheetId="10" r:id="rId10"/>
    <sheet name="OPEX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1" l="1"/>
  <c r="D10" i="10"/>
  <c r="C10" i="10"/>
  <c r="D9" i="10"/>
  <c r="D8" i="10"/>
  <c r="D7" i="10"/>
  <c r="D6" i="10"/>
  <c r="D5" i="10"/>
</calcChain>
</file>

<file path=xl/sharedStrings.xml><?xml version="1.0" encoding="utf-8"?>
<sst xmlns="http://schemas.openxmlformats.org/spreadsheetml/2006/main" count="441" uniqueCount="330">
  <si>
    <t>Choix du cloud provider</t>
  </si>
  <si>
    <t>Critère</t>
  </si>
  <si>
    <t>AWS</t>
  </si>
  <si>
    <t>GCP</t>
  </si>
  <si>
    <t>Azure</t>
  </si>
  <si>
    <t>Conteneurs serverless</t>
  </si>
  <si>
    <t>ECS Fargate</t>
  </si>
  <si>
    <t>Cloud Run</t>
  </si>
  <si>
    <t>Container Apps</t>
  </si>
  <si>
    <t>PostgreSQL managé</t>
  </si>
  <si>
    <t>RDS (pgvector natif)</t>
  </si>
  <si>
    <t>Cloud SQL</t>
  </si>
  <si>
    <t>Azure DB for PostgreSQL</t>
  </si>
  <si>
    <t>Serverless (fonctions)</t>
  </si>
  <si>
    <t>Lambda + EventBridge</t>
  </si>
  <si>
    <t>Cloud Functions</t>
  </si>
  <si>
    <t>Azure Functions</t>
  </si>
  <si>
    <t>Monitoring</t>
  </si>
  <si>
    <t>CloudWatch</t>
  </si>
  <si>
    <t>Cloud Monitoring</t>
  </si>
  <si>
    <t>Azure Monitor</t>
  </si>
  <si>
    <t>Part de marché</t>
  </si>
  <si>
    <t>~31% (leader)</t>
  </si>
  <si>
    <t>~11%</t>
  </si>
  <si>
    <t>~24%</t>
  </si>
  <si>
    <t>Mon expérience</t>
  </si>
  <si>
    <t>EC2 (P6), S3/ECS/CW (P8)</t>
  </si>
  <si>
    <t>Aucune</t>
  </si>
  <si>
    <t>Choix retenu :</t>
  </si>
  <si>
    <t>Justification :</t>
  </si>
  <si>
    <t>Expérience concrète en P6 (EC2) et P8 (S3/ECS/CloudWatch). Tous les services nécessaires au MVP sont disponibles. Changer de cloud = réapprendre IAM, réseau, droits → perte de temps sans valeur ajoutée.</t>
  </si>
  <si>
    <t>Choix de la base de données</t>
  </si>
  <si>
    <t>PostgreSQL + pgvector</t>
  </si>
  <si>
    <t>Pinecone + DynamoDB</t>
  </si>
  <si>
    <t>MongoDB + Atlas Vector</t>
  </si>
  <si>
    <t>MySQL</t>
  </si>
  <si>
    <t>Recherche vectorielle</t>
  </si>
  <si>
    <t>pgvector (natif)</t>
  </si>
  <si>
    <t>Pinecone (distribué)</t>
  </si>
  <si>
    <t>Atlas Vector Search</t>
  </si>
  <si>
    <t>Non supporté</t>
  </si>
  <si>
    <t>Données relationnelles</t>
  </si>
  <si>
    <t>SQL natif</t>
  </si>
  <si>
    <t>DynamoDB (NoSQL)</t>
  </si>
  <si>
    <t>Document (NoSQL)</t>
  </si>
  <si>
    <t>Mémoire conversation</t>
  </si>
  <si>
    <t>Même base</t>
  </si>
  <si>
    <t>Service séparé</t>
  </si>
  <si>
    <t>Possible mais pas de vecteurs</t>
  </si>
  <si>
    <t>Nb de bases à gérer</t>
  </si>
  <si>
    <t>1 seule</t>
  </si>
  <si>
    <t>2 services séparés</t>
  </si>
  <si>
    <t>1 sans vecteurs</t>
  </si>
  <si>
    <t>Volume MVP (~12K events)</t>
  </si>
  <si>
    <t>OK (~50 Mo)</t>
  </si>
  <si>
    <t>Surdimensionné</t>
  </si>
  <si>
    <t>OK</t>
  </si>
  <si>
    <t>Impossible</t>
  </si>
  <si>
    <t>Filtre géo + vecteurs</t>
  </si>
  <si>
    <t>WHERE + ORDER BY en 1 requête</t>
  </si>
  <si>
    <t>2 requêtes séparées</t>
  </si>
  <si>
    <t>Pipeline agrégation</t>
  </si>
  <si>
    <t>Pas de vecteurs</t>
  </si>
  <si>
    <t>Coût MVP</t>
  </si>
  <si>
    <t>Free tier mais 2 services</t>
  </si>
  <si>
    <t>Free tier (limité)</t>
  </si>
  <si>
    <t>~15$/mois</t>
  </si>
  <si>
    <t>PostgreSQL (P12)</t>
  </si>
  <si>
    <t>MongoDB (P5, P7, P8)</t>
  </si>
  <si>
    <t>PostgreSQL + pgvector sur RDS</t>
  </si>
  <si>
    <t>Seule option qui gère vecteurs + relationnel + mémoire dans 1 base. Évite le split-brain de Pinecone+DynamoDB. Permet le filtre géographique SQL AVANT la recherche vectorielle (WHERE ville='Lyon' ORDER BY embedding &lt;-&gt; query). Volume vérifié par script : 17 687 events, ~50 Mo → db.t3.micro suffit.</t>
  </si>
  <si>
    <t>Choix du framework API</t>
  </si>
  <si>
    <t>FastAPI</t>
  </si>
  <si>
    <t>Flask</t>
  </si>
  <si>
    <t>Django</t>
  </si>
  <si>
    <t>Asynchrone natif</t>
  </si>
  <si>
    <t>Oui (async/await)</t>
  </si>
  <si>
    <t>Non (sync)</t>
  </si>
  <si>
    <t>Partiel</t>
  </si>
  <si>
    <t>Doc Swagger auto</t>
  </si>
  <si>
    <t>Oui</t>
  </si>
  <si>
    <t>Non (extension)</t>
  </si>
  <si>
    <t>Poids</t>
  </si>
  <si>
    <t>Léger</t>
  </si>
  <si>
    <t>Lourd (ORM, admin, templates)</t>
  </si>
  <si>
    <t>Adapté chatbot (attente LLM 2-3s)</t>
  </si>
  <si>
    <t>Ne bloque pas</t>
  </si>
  <si>
    <t>Bloque le thread</t>
  </si>
  <si>
    <t>Possible mais lourd</t>
  </si>
  <si>
    <t>Standard IA/Data</t>
  </si>
  <si>
    <t>En déclin</t>
  </si>
  <si>
    <t>Peu utilisé pour APIs IA</t>
  </si>
  <si>
    <t>FastAPI sur ECS Fargate</t>
  </si>
  <si>
    <t>Le chatbot attend 2-3s par appel Mistral. Avec Flask, le serveur est bloqué. Avec FastAPI, il traite d'autres requêtes en parallèle. Django embarque ORM/admin/templates inutiles ici.</t>
  </si>
  <si>
    <t>Choix de l'orchestrateur d'ingestion</t>
  </si>
  <si>
    <t>Airflow</t>
  </si>
  <si>
    <t>Kestra</t>
  </si>
  <si>
    <t>Cron</t>
  </si>
  <si>
    <t>CloudWatch Logs</t>
  </si>
  <si>
    <t>UI web complète</t>
  </si>
  <si>
    <t>Aucun</t>
  </si>
  <si>
    <t>Coût mensuel</t>
  </si>
  <si>
    <t>~250$/mois (MWAA)</t>
  </si>
  <si>
    <t>Moyen</t>
  </si>
  <si>
    <t>Nul</t>
  </si>
  <si>
    <t>Adapté à 1 tâche/jour</t>
  </si>
  <si>
    <t>Idéal (serverless)</t>
  </si>
  <si>
    <t>Suffisant mais aveugle</t>
  </si>
  <si>
    <t>Gestion erreurs</t>
  </si>
  <si>
    <t>Retries, DLQ, alertes CW</t>
  </si>
  <si>
    <t>Retries, alertes, SLA</t>
  </si>
  <si>
    <t>Retries, alertes</t>
  </si>
  <si>
    <t>Manuel</t>
  </si>
  <si>
    <t>P8 (Lambda partiel)</t>
  </si>
  <si>
    <t>P12 (Airflow 2.8)</t>
  </si>
  <si>
    <t>P10 (Kestra)</t>
  </si>
  <si>
    <t>Basique</t>
  </si>
  <si>
    <t>1 tâche/jour sur ~12 000 events → serverless est le choix logique. Airflow managé (MWAA) coûte 250$/mois pour le même résultat. Lambda coûte ~0.50$/mois. Airflow se justifierait si on avait 10+ pipelines à orchestrer.</t>
  </si>
  <si>
    <t>Choix du monitoring LLM</t>
  </si>
  <si>
    <t>Langfuse</t>
  </si>
  <si>
    <t>LangSmith</t>
  </si>
  <si>
    <t>CloudWatch seul</t>
  </si>
  <si>
    <t>Traces LLM (prompt, réponse, tokens)</t>
  </si>
  <si>
    <t>Non (logs bruts)</t>
  </si>
  <si>
    <t>LLM-as-judge (qualité)</t>
  </si>
  <si>
    <t>Non</t>
  </si>
  <si>
    <t>Open source</t>
  </si>
  <si>
    <t>Oui (MIT)</t>
  </si>
  <si>
    <t>Non (propriétaire)</t>
  </si>
  <si>
    <t>Self-hostable</t>
  </si>
  <si>
    <t>Oui (Docker)</t>
  </si>
  <si>
    <t>Enterprise uniquement</t>
  </si>
  <si>
    <t>N/A</t>
  </si>
  <si>
    <t>RGPD / souveraineté données</t>
  </si>
  <si>
    <t>Fort (self-hosted)</t>
  </si>
  <si>
    <t>Faible (SaaS US)</t>
  </si>
  <si>
    <t>Intégration LangChain</t>
  </si>
  <si>
    <t>Via callback (quelques lignes)</t>
  </si>
  <si>
    <t>1 variable d'env</t>
  </si>
  <si>
    <t>Gratuit (self-hosted)</t>
  </si>
  <si>
    <t>Free tier 5K traces/mois</t>
  </si>
  <si>
    <t>Inclus AWS</t>
  </si>
  <si>
    <t>Langfuse + CloudWatch</t>
  </si>
  <si>
    <t>CloudWatch pour l'infra (CPU, latence, erreurs). Langfuse pour le LLM (traces, qualité, tokens). Langfuse est open source et self-hostable → argument RGPD. LLM-as-judge répond au retour évaluateur P11. LangSmith aurait marché aussi mais il est propriétaire et lié à LangChain.</t>
  </si>
  <si>
    <t>Choix de la recherche web temps réel</t>
  </si>
  <si>
    <t>Tavily</t>
  </si>
  <si>
    <t>SerpAPI</t>
  </si>
  <si>
    <t>Google Custom Search</t>
  </si>
  <si>
    <t>Résultats prêts pour LLM</t>
  </si>
  <si>
    <t>Oui (structuré, nettoyé)</t>
  </si>
  <si>
    <t>Non (HTML brut)</t>
  </si>
  <si>
    <t>Native (1 ligne)</t>
  </si>
  <si>
    <t>Wrapper</t>
  </si>
  <si>
    <t>Free tier</t>
  </si>
  <si>
    <t>1 000 recherches/mois</t>
  </si>
  <si>
    <t>100/mois</t>
  </si>
  <si>
    <t>100/jour</t>
  </si>
  <si>
    <t>Complexité d'intégration</t>
  </si>
  <si>
    <t>1 ligne de code</t>
  </si>
  <si>
    <t>Parsing nécessaire</t>
  </si>
  <si>
    <t>Seul outil qui retourne des résultats structurés exploitables par le LLM sans parsing. Free tier suffisant (fallback, pas le mode principal).</t>
  </si>
  <si>
    <t>Choix du LLM</t>
  </si>
  <si>
    <t>Mistral</t>
  </si>
  <si>
    <t>GPT-4 (OpenAI)</t>
  </si>
  <si>
    <t>Claude (Anthropic)</t>
  </si>
  <si>
    <t>Qualité en français</t>
  </si>
  <si>
    <t>Excellente</t>
  </si>
  <si>
    <t>Bonne</t>
  </si>
  <si>
    <t>Cohérence embed + génération</t>
  </si>
  <si>
    <t>Même fournisseur</t>
  </si>
  <si>
    <t>Pas d'embeddings propres</t>
  </si>
  <si>
    <t>Coût / M tokens</t>
  </si>
  <si>
    <t>~0.2€ (small)</t>
  </si>
  <si>
    <t>~2-5€</t>
  </si>
  <si>
    <t>~3€</t>
  </si>
  <si>
    <t>Continuité POC (P11)</t>
  </si>
  <si>
    <t>Mistral API</t>
  </si>
  <si>
    <t>Continuité avec le POC validé. Même fournisseur pour embed + génération = pas besoin de re-vectoriser. Coût 10x &lt; GPT-4.</t>
  </si>
  <si>
    <t>Résumé des choix techniques — MVP Puls-Events</t>
  </si>
  <si>
    <t>Brique</t>
  </si>
  <si>
    <t>Choix retenu</t>
  </si>
  <si>
    <t>Justification clé</t>
  </si>
  <si>
    <t>Cloud</t>
  </si>
  <si>
    <t>Expérience P6/P8, tous les services nécessaires</t>
  </si>
  <si>
    <t>Base de données</t>
  </si>
  <si>
    <t>PostgreSQL + pgvector (RDS)</t>
  </si>
  <si>
    <t>1 base pour vecteurs + relationnel + mémoire</t>
  </si>
  <si>
    <t>Framework API</t>
  </si>
  <si>
    <t>FastAPI (ECS Fargate)</t>
  </si>
  <si>
    <t>Async natif, indispensable pour un chatbot</t>
  </si>
  <si>
    <t>Orchestrateur</t>
  </si>
  <si>
    <t>Monitoring LLM</t>
  </si>
  <si>
    <t>Open source, RGPD-friendly, LLM-as-judge</t>
  </si>
  <si>
    <t>Recherche web</t>
  </si>
  <si>
    <t>Résultats structurés prêts pour le LLM</t>
  </si>
  <si>
    <t>LLM</t>
  </si>
  <si>
    <t>Continuité POC, coût 10x &lt; GPT-4</t>
  </si>
  <si>
    <t>Macro Backlog — MVP Puls-Events</t>
  </si>
  <si>
    <t>ID</t>
  </si>
  <si>
    <t>Fonctionnalité</t>
  </si>
  <si>
    <t>Priorité</t>
  </si>
  <si>
    <t>Complexité</t>
  </si>
  <si>
    <t>Durée (j)</t>
  </si>
  <si>
    <t>Sprint</t>
  </si>
  <si>
    <t>Critère d'acceptation</t>
  </si>
  <si>
    <t>F01</t>
  </si>
  <si>
    <t>Infra AWS (RDS, Fargate, API Gateway)</t>
  </si>
  <si>
    <t>Must-Have</t>
  </si>
  <si>
    <t>Haute</t>
  </si>
  <si>
    <t>Sprint 1</t>
  </si>
  <si>
    <t>F02</t>
  </si>
  <si>
    <t>Conteneurisation Docker</t>
  </si>
  <si>
    <t>Faible</t>
  </si>
  <si>
    <t>F03</t>
  </si>
  <si>
    <t>Pipeline ingestion (Open Agenda → pgvector)</t>
  </si>
  <si>
    <t>Moyenne</t>
  </si>
  <si>
    <t>Sprint 2</t>
  </si>
  <si>
    <t>F04</t>
  </si>
  <si>
    <t>Endpoint /chat (RAG complet)</t>
  </si>
  <si>
    <t>F05</t>
  </si>
  <si>
    <t>Mémoire conversationnelle</t>
  </si>
  <si>
    <t>Sprint 3</t>
  </si>
  <si>
    <t>F06</t>
  </si>
  <si>
    <t>Filtre géographique</t>
  </si>
  <si>
    <t>F07</t>
  </si>
  <si>
    <t>Recherche web Tavily (fallback)</t>
  </si>
  <si>
    <t>Score pgvector trop bas → Tavily appelé</t>
  </si>
  <si>
    <t>F08</t>
  </si>
  <si>
    <t>Feedback pouce haut/bas</t>
  </si>
  <si>
    <t>Bouton après chaque réponse, stocké en BDD</t>
  </si>
  <si>
    <t>F09</t>
  </si>
  <si>
    <t>Monitoring infra (CloudWatch)</t>
  </si>
  <si>
    <t>Sprint 4</t>
  </si>
  <si>
    <t>Alertes latence, erreurs, CPU</t>
  </si>
  <si>
    <t>F10</t>
  </si>
  <si>
    <t>Monitoring LLM (Langfuse)</t>
  </si>
  <si>
    <t>Traces LLM + LLM-as-judge</t>
  </si>
  <si>
    <t>F11</t>
  </si>
  <si>
    <t>Interface web avancée</t>
  </si>
  <si>
    <t>Nice-to-Have</t>
  </si>
  <si>
    <t>—</t>
  </si>
  <si>
    <t>Frontend avec historique, responsive</t>
  </si>
  <si>
    <t>F12</t>
  </si>
  <si>
    <t>Historique cross-session</t>
  </si>
  <si>
    <t>Retrouver ses conversations</t>
  </si>
  <si>
    <t>F13</t>
  </si>
  <si>
    <t>Recommandations perso</t>
  </si>
  <si>
    <t>Suggestions basées sur les préférences</t>
  </si>
  <si>
    <t>F14</t>
  </si>
  <si>
    <t>Multi-sources</t>
  </si>
  <si>
    <t>Autres sources que Open Agenda</t>
  </si>
  <si>
    <t>F15</t>
  </si>
  <si>
    <t>App mobile native</t>
  </si>
  <si>
    <t>Won't</t>
  </si>
  <si>
    <t>Web mobile suffit</t>
  </si>
  <si>
    <t>F16</t>
  </si>
  <si>
    <t>Multi-langue</t>
  </si>
  <si>
    <t>MVP français uniquement</t>
  </si>
  <si>
    <t>F17</t>
  </si>
  <si>
    <t>Fine-tuning Mistral</t>
  </si>
  <si>
    <t>Prompt engineering suffit</t>
  </si>
  <si>
    <t>Résumé</t>
  </si>
  <si>
    <t>10 features</t>
  </si>
  <si>
    <t>25 jours</t>
  </si>
  <si>
    <t>4 features</t>
  </si>
  <si>
    <t>16 jours</t>
  </si>
  <si>
    <t>3 features</t>
  </si>
  <si>
    <t>Estimation CAPEX — Coût de construction</t>
  </si>
  <si>
    <t>TJM retenu : 350€ (Data Engineer junior-confirmé, marché français)</t>
  </si>
  <si>
    <t>Contenu</t>
  </si>
  <si>
    <t>Jours</t>
  </si>
  <si>
    <t>Coût estimé</t>
  </si>
  <si>
    <t>Sprint 1 — Infrastructure</t>
  </si>
  <si>
    <t>Setup AWS (RDS pgvector, Fargate, API Gateway), Docker, ECR, /health</t>
  </si>
  <si>
    <t>Sprint 2 — RAG core</t>
  </si>
  <si>
    <t>Pipeline ingestion Lambda, endpoint /chat, pgvector + Mistral</t>
  </si>
  <si>
    <t>Sprint 3 — Features avancées</t>
  </si>
  <si>
    <t>Mémoire, géoloc, Tavily, feedback pouce haut/bas</t>
  </si>
  <si>
    <t>Sprint 4 — Monitoring &amp; prod</t>
  </si>
  <si>
    <t>CloudWatch, Langfuse, tests d'intégration, doc</t>
  </si>
  <si>
    <t>Tests finaux + documentation</t>
  </si>
  <si>
    <t>Tests intégration, relecture, déploiement final</t>
  </si>
  <si>
    <t>TOTAL</t>
  </si>
  <si>
    <t>Estimation OPEX — Coût mensuel d'exploitation</t>
  </si>
  <si>
    <t>Prix AWS région eu-west-3 (Paris), consultés en avril 2026</t>
  </si>
  <si>
    <t>Service</t>
  </si>
  <si>
    <t>Détail</t>
  </si>
  <si>
    <t>Source prix</t>
  </si>
  <si>
    <t>Coût/mois ($)</t>
  </si>
  <si>
    <t>RDS PostgreSQL + pgvector</t>
  </si>
  <si>
    <t>db.t3.micro, 1 Go RAM, 20 Go SSD</t>
  </si>
  <si>
    <t>ECS Fargate (FastAPI)</t>
  </si>
  <si>
    <t>0.25 vCPU, 0.5 Go RAM, 24h/24</t>
  </si>
  <si>
    <t>1 exécution/jour, ~5 min, 512 Mo</t>
  </si>
  <si>
    <t>S3</t>
  </si>
  <si>
    <t>Backups, fichiers statiques</t>
  </si>
  <si>
    <t>API Gateway + CloudWatch</t>
  </si>
  <si>
    <t>Faible volume</t>
  </si>
  <si>
    <t>Free tier : 1 000 recherches/mois</t>
  </si>
  <si>
    <t>docs.tavily.com/documentation/api-credits</t>
  </si>
  <si>
    <t>Self-hosted ou free tier cloud</t>
  </si>
  <si>
    <t>Optimisation déjà appliquée</t>
  </si>
  <si>
    <t>Lambda + EventBridge au lieu d'Airflow managé (MWAA)</t>
  </si>
  <si>
    <t>Économie :</t>
  </si>
  <si>
    <t>Optimisations futures possibles</t>
  </si>
  <si>
    <t>Reserved Instance RDS (1 an)</t>
  </si>
  <si>
    <t>Réduction ~40% sur RDS</t>
  </si>
  <si>
    <t>Cache réponses fréquentes</t>
  </si>
  <si>
    <t>Réduction appels Mistral</t>
  </si>
  <si>
    <t>Fargate Spot (si dispo)</t>
  </si>
  <si>
    <t>Réduction ~70% sur Fargate</t>
  </si>
  <si>
    <t>-</t>
  </si>
  <si>
    <t>https://calculator.aws/#/estimate?id=160f69a3455ac525e8a4d39dfa9a1cf643c7019b</t>
  </si>
  <si>
    <t>https://calculator.aws/#/estimate?id=bbfd70d3c28f23371d09c4687b85daf6caa09dd2</t>
  </si>
  <si>
    <t>https://calculator.aws/#/estimate?id=5d01f882d1ec9d63eba15e913d9f3b72c17fa081</t>
  </si>
  <si>
    <t>https://calculator.aws/#/estimate?id=9631fe23f797fc31bb58f7f07fde4d456d08cd38</t>
  </si>
  <si>
    <t>https://calculator.aws/#/estimate?id=4f9eb3bf8e5b11012fbc711bac0ea7e2be01bab1</t>
  </si>
  <si>
    <t>https://mistral.ai/pricing#api</t>
  </si>
  <si>
    <t>~50K tokens/jour, mistral-small ~0.15€/M tokens</t>
  </si>
  <si>
    <t>https://langfuse.com/pricing</t>
  </si>
  <si>
    <t>Instance RDS pgvector opérationnelle, FastAPI déployé sur Fargate, endpoint /health répond OK</t>
  </si>
  <si>
    <t>Dockerfile fonctionnel, image buildée et poussée sur ECR</t>
  </si>
  <si>
    <t>Lambda exécutée quotidiennement via EventBridge, événements nettoyés et vectorisés insérés dans pgvector</t>
  </si>
  <si>
    <t>L'utilisateur pose une question via l'API, reçoit une réponse pertinente basée sur les événements de la base</t>
  </si>
  <si>
    <t>L'utilisateur enchaîne 3 questions liées sans répéter le contexte, le chatbot retient le fil</t>
  </si>
  <si>
    <t>Un utilisateur à Lyon reçoit des événements lyonnais, pas versaillais</t>
  </si>
  <si>
    <t>~0.08$/mois</t>
  </si>
  <si>
    <t>~18$/mois (db.t3.micro)</t>
  </si>
  <si>
    <t>~365$/mois</t>
  </si>
  <si>
    <t>Serverless, ~0.08$/mois vs 365$/mois pour Airflow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</si>
</sst>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404040"/>
      <name val="Calibri"/>
      <family val="2"/>
    </font>
    <font>
      <b/>
      <sz val="10"/>
      <name val="Calibri"/>
      <family val="2"/>
    </font>
    <font>
      <i/>
      <sz val="10"/>
      <color rgb="FF666666"/>
      <name val="Calibri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CF3CF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2F2F2"/>
      </patternFill>
    </fill>
    <fill>
      <patternFill patternType="solid">
        <fgColor rgb="FFFADBD8"/>
        <bgColor rgb="FFFCF3CF"/>
      </patternFill>
    </fill>
    <fill>
      <patternFill patternType="solid">
        <fgColor rgb="FFD5D5D5"/>
        <bgColor rgb="FFFADBD8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4" borderId="1" xfId="0" applyFont="1" applyFill="1" applyBorder="1"/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3" fillId="0" borderId="0" xfId="0" applyFont="1"/>
    <xf numFmtId="0" fontId="5" fillId="5" borderId="1" xfId="0" applyFont="1" applyFill="1" applyBorder="1"/>
    <xf numFmtId="0" fontId="5" fillId="6" borderId="1" xfId="0" applyFont="1" applyFill="1" applyBorder="1"/>
    <xf numFmtId="0" fontId="3" fillId="3" borderId="1" xfId="0" applyFont="1" applyFill="1" applyBorder="1" applyAlignment="1">
      <alignment horizontal="center" vertical="top" wrapText="1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 vertical="top" wrapText="1"/>
    </xf>
    <xf numFmtId="4" fontId="3" fillId="3" borderId="1" xfId="0" applyNumberFormat="1" applyFont="1" applyFill="1" applyBorder="1" applyAlignment="1">
      <alignment horizontal="center" vertical="top" wrapText="1"/>
    </xf>
    <xf numFmtId="4" fontId="5" fillId="7" borderId="1" xfId="0" applyNumberFormat="1" applyFont="1" applyFill="1" applyBorder="1" applyAlignment="1">
      <alignment horizontal="center"/>
    </xf>
    <xf numFmtId="0" fontId="5" fillId="4" borderId="0" xfId="0" applyFont="1" applyFill="1"/>
    <xf numFmtId="0" fontId="7" fillId="0" borderId="1" xfId="1" applyBorder="1" applyAlignment="1">
      <alignment vertical="top" wrapText="1"/>
    </xf>
    <xf numFmtId="0" fontId="7" fillId="3" borderId="1" xfId="1" applyFill="1" applyBorder="1" applyAlignment="1">
      <alignment vertical="top" wrapText="1"/>
    </xf>
    <xf numFmtId="0" fontId="1" fillId="0" borderId="0" xfId="0" applyFont="1"/>
    <xf numFmtId="0" fontId="6" fillId="0" borderId="0" xfId="0" applyFont="1"/>
    <xf numFmtId="0" fontId="3" fillId="0" borderId="0" xfId="0" applyFont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CF"/>
      <rgbColor rgb="FFF2F2F2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alculator.aws/" TargetMode="External"/><Relationship Id="rId7" Type="http://schemas.openxmlformats.org/officeDocument/2006/relationships/hyperlink" Target="https://langfuse.com/pricing" TargetMode="External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calculator.aws/" TargetMode="External"/><Relationship Id="rId6" Type="http://schemas.openxmlformats.org/officeDocument/2006/relationships/hyperlink" Target="https://mistral.ai/pricing" TargetMode="External"/><Relationship Id="rId5" Type="http://schemas.openxmlformats.org/officeDocument/2006/relationships/hyperlink" Target="https://calculator.aws/" TargetMode="External"/><Relationship Id="rId4" Type="http://schemas.openxmlformats.org/officeDocument/2006/relationships/hyperlink" Target="https://calculator.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/>
  </sheetViews>
  <sheetFormatPr baseColWidth="10" defaultColWidth="8.7109375" defaultRowHeight="15" x14ac:dyDescent="0.25"/>
  <cols>
    <col min="1" max="1" width="25" customWidth="1"/>
    <col min="2" max="4" width="28" customWidth="1"/>
  </cols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6</v>
      </c>
      <c r="C4" s="3" t="s">
        <v>7</v>
      </c>
      <c r="D4" s="3" t="s">
        <v>8</v>
      </c>
    </row>
    <row r="5" spans="1:4" x14ac:dyDescent="0.25">
      <c r="A5" s="4" t="s">
        <v>9</v>
      </c>
      <c r="B5" s="4" t="s">
        <v>10</v>
      </c>
      <c r="C5" s="4" t="s">
        <v>11</v>
      </c>
      <c r="D5" s="4" t="s">
        <v>12</v>
      </c>
    </row>
    <row r="6" spans="1:4" x14ac:dyDescent="0.25">
      <c r="A6" s="3" t="s">
        <v>13</v>
      </c>
      <c r="B6" s="3" t="s">
        <v>14</v>
      </c>
      <c r="C6" s="3" t="s">
        <v>15</v>
      </c>
      <c r="D6" s="3" t="s">
        <v>16</v>
      </c>
    </row>
    <row r="7" spans="1:4" x14ac:dyDescent="0.25">
      <c r="A7" s="4" t="s">
        <v>17</v>
      </c>
      <c r="B7" s="4" t="s">
        <v>18</v>
      </c>
      <c r="C7" s="4" t="s">
        <v>19</v>
      </c>
      <c r="D7" s="4" t="s">
        <v>20</v>
      </c>
    </row>
    <row r="8" spans="1:4" x14ac:dyDescent="0.25">
      <c r="A8" s="3" t="s">
        <v>21</v>
      </c>
      <c r="B8" s="3" t="s">
        <v>22</v>
      </c>
      <c r="C8" s="3" t="s">
        <v>23</v>
      </c>
      <c r="D8" s="3" t="s">
        <v>24</v>
      </c>
    </row>
    <row r="9" spans="1:4" x14ac:dyDescent="0.25">
      <c r="A9" s="4" t="s">
        <v>25</v>
      </c>
      <c r="B9" s="4" t="s">
        <v>26</v>
      </c>
      <c r="C9" s="4" t="s">
        <v>27</v>
      </c>
      <c r="D9" s="4" t="s">
        <v>27</v>
      </c>
    </row>
    <row r="11" spans="1:4" x14ac:dyDescent="0.25">
      <c r="A11" s="5" t="s">
        <v>28</v>
      </c>
      <c r="B11" s="6" t="s">
        <v>2</v>
      </c>
    </row>
    <row r="12" spans="1:4" ht="23.85" customHeight="1" x14ac:dyDescent="0.25">
      <c r="A12" s="5" t="s">
        <v>29</v>
      </c>
      <c r="B12" s="27" t="s">
        <v>30</v>
      </c>
      <c r="C12" s="27"/>
      <c r="D12" s="27"/>
    </row>
  </sheetData>
  <mergeCells count="1"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workbookViewId="0">
      <selection activeCell="B11" sqref="B11"/>
    </sheetView>
  </sheetViews>
  <sheetFormatPr baseColWidth="10" defaultColWidth="8.7109375" defaultRowHeight="15" x14ac:dyDescent="0.25"/>
  <cols>
    <col min="1" max="4" width="26" customWidth="1"/>
    <col min="5" max="5" width="20" customWidth="1"/>
  </cols>
  <sheetData>
    <row r="1" spans="1:5" ht="17.25" x14ac:dyDescent="0.3">
      <c r="A1" s="1" t="s">
        <v>31</v>
      </c>
    </row>
    <row r="3" spans="1:5" x14ac:dyDescent="0.25">
      <c r="A3" s="2" t="s">
        <v>1</v>
      </c>
      <c r="B3" s="2" t="s">
        <v>32</v>
      </c>
      <c r="C3" s="2" t="s">
        <v>33</v>
      </c>
      <c r="D3" s="2" t="s">
        <v>34</v>
      </c>
      <c r="E3" s="2" t="s">
        <v>35</v>
      </c>
    </row>
    <row r="4" spans="1:5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</row>
    <row r="5" spans="1:5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42</v>
      </c>
    </row>
    <row r="6" spans="1:5" ht="25.5" x14ac:dyDescent="0.25">
      <c r="A6" s="3" t="s">
        <v>45</v>
      </c>
      <c r="B6" s="3" t="s">
        <v>46</v>
      </c>
      <c r="C6" s="3" t="s">
        <v>47</v>
      </c>
      <c r="D6" s="3" t="s">
        <v>46</v>
      </c>
      <c r="E6" s="3" t="s">
        <v>48</v>
      </c>
    </row>
    <row r="7" spans="1:5" x14ac:dyDescent="0.25">
      <c r="A7" s="4" t="s">
        <v>49</v>
      </c>
      <c r="B7" s="4" t="s">
        <v>50</v>
      </c>
      <c r="C7" s="4" t="s">
        <v>51</v>
      </c>
      <c r="D7" s="4" t="s">
        <v>50</v>
      </c>
      <c r="E7" s="4" t="s">
        <v>52</v>
      </c>
    </row>
    <row r="8" spans="1:5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</row>
    <row r="9" spans="1:5" ht="25.5" x14ac:dyDescent="0.25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</row>
    <row r="10" spans="1:5" x14ac:dyDescent="0.25">
      <c r="A10" s="3" t="s">
        <v>63</v>
      </c>
      <c r="B10" s="3" t="s">
        <v>327</v>
      </c>
      <c r="C10" s="3" t="s">
        <v>64</v>
      </c>
      <c r="D10" s="3" t="s">
        <v>65</v>
      </c>
      <c r="E10" s="3" t="s">
        <v>66</v>
      </c>
    </row>
    <row r="11" spans="1:5" x14ac:dyDescent="0.25">
      <c r="A11" s="4" t="s">
        <v>25</v>
      </c>
      <c r="B11" s="4" t="s">
        <v>67</v>
      </c>
      <c r="C11" s="4" t="s">
        <v>27</v>
      </c>
      <c r="D11" s="4" t="s">
        <v>68</v>
      </c>
      <c r="E11" s="4" t="s">
        <v>27</v>
      </c>
    </row>
    <row r="13" spans="1:5" x14ac:dyDescent="0.25">
      <c r="A13" s="5" t="s">
        <v>28</v>
      </c>
      <c r="B13" s="6" t="s">
        <v>69</v>
      </c>
    </row>
    <row r="14" spans="1:5" ht="35.1" customHeight="1" x14ac:dyDescent="0.25">
      <c r="A14" s="5" t="s">
        <v>29</v>
      </c>
      <c r="B14" s="27" t="s">
        <v>70</v>
      </c>
      <c r="C14" s="27"/>
      <c r="D14" s="27"/>
      <c r="E14" s="27"/>
    </row>
  </sheetData>
  <mergeCells count="1"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4" width="24" customWidth="1"/>
  </cols>
  <sheetData>
    <row r="1" spans="1:4" ht="17.25" x14ac:dyDescent="0.3">
      <c r="A1" s="1" t="s">
        <v>71</v>
      </c>
    </row>
    <row r="3" spans="1:4" x14ac:dyDescent="0.25">
      <c r="A3" s="2" t="s">
        <v>1</v>
      </c>
      <c r="B3" s="2" t="s">
        <v>72</v>
      </c>
      <c r="C3" s="2" t="s">
        <v>73</v>
      </c>
      <c r="D3" s="2" t="s">
        <v>74</v>
      </c>
    </row>
    <row r="4" spans="1:4" x14ac:dyDescent="0.25">
      <c r="A4" s="3" t="s">
        <v>75</v>
      </c>
      <c r="B4" s="3" t="s">
        <v>76</v>
      </c>
      <c r="C4" s="3" t="s">
        <v>77</v>
      </c>
      <c r="D4" s="3" t="s">
        <v>78</v>
      </c>
    </row>
    <row r="5" spans="1:4" x14ac:dyDescent="0.25">
      <c r="A5" s="4" t="s">
        <v>79</v>
      </c>
      <c r="B5" s="4" t="s">
        <v>80</v>
      </c>
      <c r="C5" s="4" t="s">
        <v>81</v>
      </c>
      <c r="D5" s="4" t="s">
        <v>81</v>
      </c>
    </row>
    <row r="6" spans="1:4" ht="25.5" x14ac:dyDescent="0.25">
      <c r="A6" s="3" t="s">
        <v>82</v>
      </c>
      <c r="B6" s="3" t="s">
        <v>83</v>
      </c>
      <c r="C6" s="3" t="s">
        <v>83</v>
      </c>
      <c r="D6" s="3" t="s">
        <v>84</v>
      </c>
    </row>
    <row r="7" spans="1:4" x14ac:dyDescent="0.25">
      <c r="A7" s="4" t="s">
        <v>85</v>
      </c>
      <c r="B7" s="4" t="s">
        <v>86</v>
      </c>
      <c r="C7" s="4" t="s">
        <v>87</v>
      </c>
      <c r="D7" s="4" t="s">
        <v>88</v>
      </c>
    </row>
    <row r="8" spans="1:4" x14ac:dyDescent="0.25">
      <c r="A8" s="3" t="s">
        <v>89</v>
      </c>
      <c r="B8" s="3" t="s">
        <v>80</v>
      </c>
      <c r="C8" s="3" t="s">
        <v>90</v>
      </c>
      <c r="D8" s="3" t="s">
        <v>91</v>
      </c>
    </row>
    <row r="10" spans="1:4" x14ac:dyDescent="0.25">
      <c r="A10" s="5" t="s">
        <v>28</v>
      </c>
      <c r="B10" s="6" t="s">
        <v>92</v>
      </c>
    </row>
    <row r="11" spans="1:4" ht="23.85" customHeight="1" x14ac:dyDescent="0.25">
      <c r="A11" s="5" t="s">
        <v>29</v>
      </c>
      <c r="B11" s="27" t="s">
        <v>93</v>
      </c>
      <c r="C11" s="27"/>
      <c r="D11" s="27"/>
    </row>
  </sheetData>
  <mergeCells count="1"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selection activeCell="B7" sqref="B7"/>
    </sheetView>
  </sheetViews>
  <sheetFormatPr baseColWidth="10" defaultColWidth="8.7109375" defaultRowHeight="15" x14ac:dyDescent="0.25"/>
  <cols>
    <col min="1" max="1" width="28" customWidth="1"/>
    <col min="2" max="3" width="24" customWidth="1"/>
    <col min="4" max="4" width="22" customWidth="1"/>
    <col min="5" max="5" width="20" customWidth="1"/>
  </cols>
  <sheetData>
    <row r="1" spans="1:5" ht="17.25" x14ac:dyDescent="0.3">
      <c r="A1" s="1" t="s">
        <v>94</v>
      </c>
    </row>
    <row r="3" spans="1:5" x14ac:dyDescent="0.25">
      <c r="A3" s="2" t="s">
        <v>1</v>
      </c>
      <c r="B3" s="2" t="s">
        <v>14</v>
      </c>
      <c r="C3" s="2" t="s">
        <v>95</v>
      </c>
      <c r="D3" s="2" t="s">
        <v>96</v>
      </c>
      <c r="E3" s="2" t="s">
        <v>97</v>
      </c>
    </row>
    <row r="4" spans="1:5" x14ac:dyDescent="0.25">
      <c r="A4" s="3" t="s">
        <v>17</v>
      </c>
      <c r="B4" s="3" t="s">
        <v>98</v>
      </c>
      <c r="C4" s="3" t="s">
        <v>99</v>
      </c>
      <c r="D4" s="3" t="s">
        <v>99</v>
      </c>
      <c r="E4" s="3" t="s">
        <v>100</v>
      </c>
    </row>
    <row r="5" spans="1:5" x14ac:dyDescent="0.25">
      <c r="A5" s="4" t="s">
        <v>101</v>
      </c>
      <c r="B5" s="4" t="s">
        <v>326</v>
      </c>
      <c r="C5" s="4" t="s">
        <v>102</v>
      </c>
      <c r="D5" s="4" t="s">
        <v>103</v>
      </c>
      <c r="E5" s="4" t="s">
        <v>104</v>
      </c>
    </row>
    <row r="6" spans="1:5" x14ac:dyDescent="0.25">
      <c r="A6" s="3" t="s">
        <v>105</v>
      </c>
      <c r="B6" s="3" t="s">
        <v>106</v>
      </c>
      <c r="C6" s="3" t="s">
        <v>55</v>
      </c>
      <c r="D6" s="3" t="s">
        <v>55</v>
      </c>
      <c r="E6" s="3" t="s">
        <v>107</v>
      </c>
    </row>
    <row r="7" spans="1:5" x14ac:dyDescent="0.25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</row>
    <row r="8" spans="1:5" x14ac:dyDescent="0.25">
      <c r="A8" s="3" t="s">
        <v>25</v>
      </c>
      <c r="B8" s="3" t="s">
        <v>113</v>
      </c>
      <c r="C8" s="3" t="s">
        <v>114</v>
      </c>
      <c r="D8" s="3" t="s">
        <v>115</v>
      </c>
      <c r="E8" s="3" t="s">
        <v>116</v>
      </c>
    </row>
    <row r="10" spans="1:5" x14ac:dyDescent="0.25">
      <c r="A10" s="5" t="s">
        <v>28</v>
      </c>
      <c r="B10" s="6" t="s">
        <v>14</v>
      </c>
    </row>
    <row r="11" spans="1:5" ht="23.85" customHeight="1" x14ac:dyDescent="0.25">
      <c r="A11" s="5" t="s">
        <v>29</v>
      </c>
      <c r="B11" s="27" t="s">
        <v>117</v>
      </c>
      <c r="C11" s="27"/>
      <c r="D11" s="27"/>
      <c r="E11" s="27"/>
    </row>
  </sheetData>
  <mergeCells count="1"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Normal="100" workbookViewId="0"/>
  </sheetViews>
  <sheetFormatPr baseColWidth="10" defaultColWidth="8.7109375" defaultRowHeight="15" x14ac:dyDescent="0.25"/>
  <cols>
    <col min="1" max="1" width="30" customWidth="1"/>
    <col min="2" max="4" width="24" customWidth="1"/>
  </cols>
  <sheetData>
    <row r="1" spans="1:4" ht="17.25" x14ac:dyDescent="0.3">
      <c r="A1" s="1" t="s">
        <v>118</v>
      </c>
    </row>
    <row r="3" spans="1:4" x14ac:dyDescent="0.25">
      <c r="A3" s="2" t="s">
        <v>1</v>
      </c>
      <c r="B3" s="2" t="s">
        <v>119</v>
      </c>
      <c r="C3" s="2" t="s">
        <v>120</v>
      </c>
      <c r="D3" s="2" t="s">
        <v>121</v>
      </c>
    </row>
    <row r="4" spans="1:4" ht="25.5" x14ac:dyDescent="0.25">
      <c r="A4" s="3" t="s">
        <v>122</v>
      </c>
      <c r="B4" s="3" t="s">
        <v>80</v>
      </c>
      <c r="C4" s="3" t="s">
        <v>80</v>
      </c>
      <c r="D4" s="3" t="s">
        <v>123</v>
      </c>
    </row>
    <row r="5" spans="1:4" x14ac:dyDescent="0.25">
      <c r="A5" s="4" t="s">
        <v>124</v>
      </c>
      <c r="B5" s="4" t="s">
        <v>80</v>
      </c>
      <c r="C5" s="4" t="s">
        <v>80</v>
      </c>
      <c r="D5" s="4" t="s">
        <v>125</v>
      </c>
    </row>
    <row r="6" spans="1:4" x14ac:dyDescent="0.25">
      <c r="A6" s="3" t="s">
        <v>126</v>
      </c>
      <c r="B6" s="3" t="s">
        <v>127</v>
      </c>
      <c r="C6" s="3" t="s">
        <v>128</v>
      </c>
      <c r="D6" s="3" t="s">
        <v>125</v>
      </c>
    </row>
    <row r="7" spans="1:4" x14ac:dyDescent="0.25">
      <c r="A7" s="4" t="s">
        <v>129</v>
      </c>
      <c r="B7" s="4" t="s">
        <v>130</v>
      </c>
      <c r="C7" s="4" t="s">
        <v>131</v>
      </c>
      <c r="D7" s="4" t="s">
        <v>132</v>
      </c>
    </row>
    <row r="8" spans="1:4" x14ac:dyDescent="0.25">
      <c r="A8" s="3" t="s">
        <v>133</v>
      </c>
      <c r="B8" s="3" t="s">
        <v>134</v>
      </c>
      <c r="C8" s="3" t="s">
        <v>135</v>
      </c>
      <c r="D8" s="3" t="s">
        <v>132</v>
      </c>
    </row>
    <row r="9" spans="1:4" ht="25.5" x14ac:dyDescent="0.25">
      <c r="A9" s="4" t="s">
        <v>136</v>
      </c>
      <c r="B9" s="4" t="s">
        <v>137</v>
      </c>
      <c r="C9" s="4" t="s">
        <v>138</v>
      </c>
      <c r="D9" s="4" t="s">
        <v>27</v>
      </c>
    </row>
    <row r="10" spans="1:4" x14ac:dyDescent="0.25">
      <c r="A10" s="3" t="s">
        <v>63</v>
      </c>
      <c r="B10" s="3" t="s">
        <v>139</v>
      </c>
      <c r="C10" s="3" t="s">
        <v>140</v>
      </c>
      <c r="D10" s="3" t="s">
        <v>141</v>
      </c>
    </row>
    <row r="12" spans="1:4" x14ac:dyDescent="0.25">
      <c r="A12" s="5" t="s">
        <v>28</v>
      </c>
      <c r="B12" s="6" t="s">
        <v>142</v>
      </c>
    </row>
    <row r="13" spans="1:4" ht="35.1" customHeight="1" x14ac:dyDescent="0.25">
      <c r="A13" s="5" t="s">
        <v>29</v>
      </c>
      <c r="B13" s="27" t="s">
        <v>143</v>
      </c>
      <c r="C13" s="27"/>
      <c r="D13" s="27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zoomScaleNormal="100" workbookViewId="0"/>
  </sheetViews>
  <sheetFormatPr baseColWidth="10" defaultColWidth="8.7109375" defaultRowHeight="15" x14ac:dyDescent="0.25"/>
  <cols>
    <col min="1" max="1" width="30" customWidth="1"/>
    <col min="2" max="4" width="24" customWidth="1"/>
  </cols>
  <sheetData>
    <row r="1" spans="1:4" ht="17.25" x14ac:dyDescent="0.3">
      <c r="A1" s="1" t="s">
        <v>144</v>
      </c>
    </row>
    <row r="3" spans="1:4" x14ac:dyDescent="0.25">
      <c r="A3" s="2" t="s">
        <v>1</v>
      </c>
      <c r="B3" s="2" t="s">
        <v>145</v>
      </c>
      <c r="C3" s="2" t="s">
        <v>146</v>
      </c>
      <c r="D3" s="2" t="s">
        <v>147</v>
      </c>
    </row>
    <row r="4" spans="1:4" x14ac:dyDescent="0.25">
      <c r="A4" s="3" t="s">
        <v>148</v>
      </c>
      <c r="B4" s="3" t="s">
        <v>149</v>
      </c>
      <c r="C4" s="3" t="s">
        <v>150</v>
      </c>
      <c r="D4" s="3" t="s">
        <v>150</v>
      </c>
    </row>
    <row r="5" spans="1:4" x14ac:dyDescent="0.25">
      <c r="A5" s="4" t="s">
        <v>136</v>
      </c>
      <c r="B5" s="4" t="s">
        <v>151</v>
      </c>
      <c r="C5" s="4" t="s">
        <v>152</v>
      </c>
      <c r="D5" s="4" t="s">
        <v>152</v>
      </c>
    </row>
    <row r="6" spans="1:4" x14ac:dyDescent="0.25">
      <c r="A6" s="3" t="s">
        <v>153</v>
      </c>
      <c r="B6" s="3" t="s">
        <v>154</v>
      </c>
      <c r="C6" s="3" t="s">
        <v>155</v>
      </c>
      <c r="D6" s="3" t="s">
        <v>156</v>
      </c>
    </row>
    <row r="7" spans="1:4" x14ac:dyDescent="0.25">
      <c r="A7" s="4" t="s">
        <v>157</v>
      </c>
      <c r="B7" s="4" t="s">
        <v>158</v>
      </c>
      <c r="C7" s="4" t="s">
        <v>159</v>
      </c>
      <c r="D7" s="4" t="s">
        <v>159</v>
      </c>
    </row>
    <row r="9" spans="1:4" x14ac:dyDescent="0.25">
      <c r="A9" s="5" t="s">
        <v>28</v>
      </c>
      <c r="B9" s="6" t="s">
        <v>145</v>
      </c>
    </row>
    <row r="10" spans="1:4" ht="23.85" customHeight="1" x14ac:dyDescent="0.25">
      <c r="A10" s="5" t="s">
        <v>29</v>
      </c>
      <c r="B10" s="27" t="s">
        <v>160</v>
      </c>
      <c r="C10" s="27"/>
      <c r="D10" s="27"/>
    </row>
  </sheetData>
  <mergeCells count="1"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workbookViewId="0"/>
  </sheetViews>
  <sheetFormatPr baseColWidth="10" defaultColWidth="8.7109375" defaultRowHeight="15" x14ac:dyDescent="0.25"/>
  <cols>
    <col min="1" max="1" width="30" customWidth="1"/>
    <col min="2" max="4" width="24" customWidth="1"/>
  </cols>
  <sheetData>
    <row r="1" spans="1:4" ht="17.25" x14ac:dyDescent="0.3">
      <c r="A1" s="1" t="s">
        <v>161</v>
      </c>
    </row>
    <row r="3" spans="1:4" x14ac:dyDescent="0.25">
      <c r="A3" s="2" t="s">
        <v>1</v>
      </c>
      <c r="B3" s="2" t="s">
        <v>162</v>
      </c>
      <c r="C3" s="2" t="s">
        <v>163</v>
      </c>
      <c r="D3" s="2" t="s">
        <v>164</v>
      </c>
    </row>
    <row r="4" spans="1:4" x14ac:dyDescent="0.25">
      <c r="A4" s="3" t="s">
        <v>165</v>
      </c>
      <c r="B4" s="3" t="s">
        <v>166</v>
      </c>
      <c r="C4" s="3" t="s">
        <v>167</v>
      </c>
      <c r="D4" s="3" t="s">
        <v>167</v>
      </c>
    </row>
    <row r="5" spans="1:4" x14ac:dyDescent="0.25">
      <c r="A5" s="4" t="s">
        <v>168</v>
      </c>
      <c r="B5" s="4" t="s">
        <v>169</v>
      </c>
      <c r="C5" s="4" t="s">
        <v>169</v>
      </c>
      <c r="D5" s="4" t="s">
        <v>170</v>
      </c>
    </row>
    <row r="6" spans="1:4" x14ac:dyDescent="0.25">
      <c r="A6" s="3" t="s">
        <v>171</v>
      </c>
      <c r="B6" s="3" t="s">
        <v>172</v>
      </c>
      <c r="C6" s="3" t="s">
        <v>173</v>
      </c>
      <c r="D6" s="3" t="s">
        <v>174</v>
      </c>
    </row>
    <row r="7" spans="1:4" x14ac:dyDescent="0.25">
      <c r="A7" s="4" t="s">
        <v>175</v>
      </c>
      <c r="B7" s="4" t="s">
        <v>80</v>
      </c>
      <c r="C7" s="4" t="s">
        <v>125</v>
      </c>
      <c r="D7" s="4" t="s">
        <v>125</v>
      </c>
    </row>
    <row r="9" spans="1:4" x14ac:dyDescent="0.25">
      <c r="A9" s="5" t="s">
        <v>28</v>
      </c>
      <c r="B9" s="6" t="s">
        <v>176</v>
      </c>
    </row>
    <row r="10" spans="1:4" ht="23.85" customHeight="1" x14ac:dyDescent="0.25">
      <c r="A10" s="5" t="s">
        <v>29</v>
      </c>
      <c r="B10" s="27" t="s">
        <v>177</v>
      </c>
      <c r="C10" s="27"/>
      <c r="D10" s="27"/>
    </row>
  </sheetData>
  <mergeCells count="1"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zoomScaleNormal="100" workbookViewId="0">
      <selection activeCell="C8" sqref="C8"/>
    </sheetView>
  </sheetViews>
  <sheetFormatPr baseColWidth="10" defaultColWidth="8.7109375" defaultRowHeight="15" x14ac:dyDescent="0.25"/>
  <cols>
    <col min="1" max="1" width="22" customWidth="1"/>
    <col min="2" max="2" width="28" customWidth="1"/>
    <col min="3" max="3" width="48" customWidth="1"/>
  </cols>
  <sheetData>
    <row r="1" spans="1:3" ht="17.25" x14ac:dyDescent="0.3">
      <c r="A1" s="25" t="s">
        <v>178</v>
      </c>
      <c r="B1" s="25"/>
      <c r="C1" s="25"/>
    </row>
    <row r="3" spans="1:3" x14ac:dyDescent="0.25">
      <c r="A3" s="2" t="s">
        <v>179</v>
      </c>
      <c r="B3" s="2" t="s">
        <v>180</v>
      </c>
      <c r="C3" s="2" t="s">
        <v>181</v>
      </c>
    </row>
    <row r="4" spans="1:3" x14ac:dyDescent="0.25">
      <c r="A4" s="3" t="s">
        <v>182</v>
      </c>
      <c r="B4" s="7" t="s">
        <v>2</v>
      </c>
      <c r="C4" s="3" t="s">
        <v>183</v>
      </c>
    </row>
    <row r="5" spans="1:3" x14ac:dyDescent="0.25">
      <c r="A5" s="4" t="s">
        <v>184</v>
      </c>
      <c r="B5" s="7" t="s">
        <v>185</v>
      </c>
      <c r="C5" s="4" t="s">
        <v>186</v>
      </c>
    </row>
    <row r="6" spans="1:3" x14ac:dyDescent="0.25">
      <c r="A6" s="3" t="s">
        <v>187</v>
      </c>
      <c r="B6" s="7" t="s">
        <v>188</v>
      </c>
      <c r="C6" s="3" t="s">
        <v>189</v>
      </c>
    </row>
    <row r="7" spans="1:3" x14ac:dyDescent="0.25">
      <c r="A7" s="4" t="s">
        <v>190</v>
      </c>
      <c r="B7" s="7" t="s">
        <v>14</v>
      </c>
      <c r="C7" s="4" t="s">
        <v>329</v>
      </c>
    </row>
    <row r="8" spans="1:3" x14ac:dyDescent="0.25">
      <c r="A8" s="3" t="s">
        <v>191</v>
      </c>
      <c r="B8" s="7" t="s">
        <v>142</v>
      </c>
      <c r="C8" s="3" t="s">
        <v>192</v>
      </c>
    </row>
    <row r="9" spans="1:3" x14ac:dyDescent="0.25">
      <c r="A9" s="4" t="s">
        <v>193</v>
      </c>
      <c r="B9" s="7" t="s">
        <v>145</v>
      </c>
      <c r="C9" s="4" t="s">
        <v>194</v>
      </c>
    </row>
    <row r="10" spans="1:3" x14ac:dyDescent="0.25">
      <c r="A10" s="3" t="s">
        <v>195</v>
      </c>
      <c r="B10" s="7" t="s">
        <v>176</v>
      </c>
      <c r="C10" s="3" t="s">
        <v>196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Normal="100" workbookViewId="0">
      <selection activeCell="B19" sqref="B19"/>
    </sheetView>
  </sheetViews>
  <sheetFormatPr baseColWidth="10" defaultColWidth="8.7109375" defaultRowHeight="15" x14ac:dyDescent="0.25"/>
  <cols>
    <col min="1" max="1" width="7" customWidth="1"/>
    <col min="2" max="2" width="38" customWidth="1"/>
    <col min="3" max="3" width="14" customWidth="1"/>
    <col min="4" max="4" width="13" customWidth="1"/>
    <col min="5" max="5" width="11" customWidth="1"/>
    <col min="6" max="6" width="10" customWidth="1"/>
    <col min="7" max="7" width="44" customWidth="1"/>
  </cols>
  <sheetData>
    <row r="1" spans="1:7" ht="17.25" x14ac:dyDescent="0.3">
      <c r="A1" s="25" t="s">
        <v>197</v>
      </c>
      <c r="B1" s="25"/>
      <c r="C1" s="25"/>
      <c r="D1" s="25"/>
      <c r="E1" s="25"/>
      <c r="F1" s="25"/>
      <c r="G1" s="25"/>
    </row>
    <row r="3" spans="1:7" x14ac:dyDescent="0.25">
      <c r="A3" s="2" t="s">
        <v>198</v>
      </c>
      <c r="B3" s="2" t="s">
        <v>199</v>
      </c>
      <c r="C3" s="2" t="s">
        <v>200</v>
      </c>
      <c r="D3" s="2" t="s">
        <v>201</v>
      </c>
      <c r="E3" s="2" t="s">
        <v>202</v>
      </c>
      <c r="F3" s="2" t="s">
        <v>203</v>
      </c>
      <c r="G3" s="2" t="s">
        <v>204</v>
      </c>
    </row>
    <row r="4" spans="1:7" ht="25.5" x14ac:dyDescent="0.25">
      <c r="A4" s="4" t="s">
        <v>205</v>
      </c>
      <c r="B4" s="4" t="s">
        <v>206</v>
      </c>
      <c r="C4" s="8" t="s">
        <v>207</v>
      </c>
      <c r="D4" s="9" t="s">
        <v>208</v>
      </c>
      <c r="E4" s="9">
        <v>5</v>
      </c>
      <c r="F4" s="9" t="s">
        <v>209</v>
      </c>
      <c r="G4" s="4" t="s">
        <v>320</v>
      </c>
    </row>
    <row r="5" spans="1:7" ht="25.5" x14ac:dyDescent="0.25">
      <c r="A5" s="4" t="s">
        <v>210</v>
      </c>
      <c r="B5" s="4" t="s">
        <v>211</v>
      </c>
      <c r="C5" s="8" t="s">
        <v>207</v>
      </c>
      <c r="D5" s="9" t="s">
        <v>212</v>
      </c>
      <c r="E5" s="9">
        <v>2</v>
      </c>
      <c r="F5" s="9" t="s">
        <v>209</v>
      </c>
      <c r="G5" s="4" t="s">
        <v>321</v>
      </c>
    </row>
    <row r="6" spans="1:7" ht="38.25" x14ac:dyDescent="0.25">
      <c r="A6" s="4" t="s">
        <v>213</v>
      </c>
      <c r="B6" s="4" t="s">
        <v>214</v>
      </c>
      <c r="C6" s="8" t="s">
        <v>207</v>
      </c>
      <c r="D6" s="9" t="s">
        <v>215</v>
      </c>
      <c r="E6" s="9">
        <v>3</v>
      </c>
      <c r="F6" s="9" t="s">
        <v>216</v>
      </c>
      <c r="G6" s="4" t="s">
        <v>322</v>
      </c>
    </row>
    <row r="7" spans="1:7" ht="38.25" x14ac:dyDescent="0.25">
      <c r="A7" s="4" t="s">
        <v>217</v>
      </c>
      <c r="B7" s="4" t="s">
        <v>218</v>
      </c>
      <c r="C7" s="8" t="s">
        <v>207</v>
      </c>
      <c r="D7" s="9" t="s">
        <v>208</v>
      </c>
      <c r="E7" s="9">
        <v>5</v>
      </c>
      <c r="F7" s="9" t="s">
        <v>216</v>
      </c>
      <c r="G7" s="4" t="s">
        <v>323</v>
      </c>
    </row>
    <row r="8" spans="1:7" ht="25.5" x14ac:dyDescent="0.25">
      <c r="A8" s="4" t="s">
        <v>219</v>
      </c>
      <c r="B8" s="4" t="s">
        <v>220</v>
      </c>
      <c r="C8" s="8" t="s">
        <v>207</v>
      </c>
      <c r="D8" s="9" t="s">
        <v>215</v>
      </c>
      <c r="E8" s="9">
        <v>2</v>
      </c>
      <c r="F8" s="9" t="s">
        <v>221</v>
      </c>
      <c r="G8" s="4" t="s">
        <v>324</v>
      </c>
    </row>
    <row r="9" spans="1:7" ht="25.5" x14ac:dyDescent="0.25">
      <c r="A9" s="4" t="s">
        <v>222</v>
      </c>
      <c r="B9" s="4" t="s">
        <v>223</v>
      </c>
      <c r="C9" s="8" t="s">
        <v>207</v>
      </c>
      <c r="D9" s="9" t="s">
        <v>212</v>
      </c>
      <c r="E9" s="9">
        <v>2</v>
      </c>
      <c r="F9" s="9" t="s">
        <v>221</v>
      </c>
      <c r="G9" s="4" t="s">
        <v>325</v>
      </c>
    </row>
    <row r="10" spans="1:7" x14ac:dyDescent="0.25">
      <c r="A10" s="4" t="s">
        <v>224</v>
      </c>
      <c r="B10" s="4" t="s">
        <v>225</v>
      </c>
      <c r="C10" s="8" t="s">
        <v>207</v>
      </c>
      <c r="D10" s="9" t="s">
        <v>215</v>
      </c>
      <c r="E10" s="9">
        <v>2</v>
      </c>
      <c r="F10" s="9" t="s">
        <v>221</v>
      </c>
      <c r="G10" s="4" t="s">
        <v>226</v>
      </c>
    </row>
    <row r="11" spans="1:7" x14ac:dyDescent="0.25">
      <c r="A11" s="4" t="s">
        <v>227</v>
      </c>
      <c r="B11" s="4" t="s">
        <v>228</v>
      </c>
      <c r="C11" s="8" t="s">
        <v>207</v>
      </c>
      <c r="D11" s="9" t="s">
        <v>212</v>
      </c>
      <c r="E11" s="9">
        <v>1</v>
      </c>
      <c r="F11" s="9" t="s">
        <v>221</v>
      </c>
      <c r="G11" s="4" t="s">
        <v>229</v>
      </c>
    </row>
    <row r="12" spans="1:7" x14ac:dyDescent="0.25">
      <c r="A12" s="4" t="s">
        <v>230</v>
      </c>
      <c r="B12" s="4" t="s">
        <v>231</v>
      </c>
      <c r="C12" s="8" t="s">
        <v>207</v>
      </c>
      <c r="D12" s="9" t="s">
        <v>212</v>
      </c>
      <c r="E12" s="9">
        <v>1</v>
      </c>
      <c r="F12" s="9" t="s">
        <v>232</v>
      </c>
      <c r="G12" s="4" t="s">
        <v>233</v>
      </c>
    </row>
    <row r="13" spans="1:7" x14ac:dyDescent="0.25">
      <c r="A13" s="4" t="s">
        <v>234</v>
      </c>
      <c r="B13" s="4" t="s">
        <v>235</v>
      </c>
      <c r="C13" s="8" t="s">
        <v>207</v>
      </c>
      <c r="D13" s="9" t="s">
        <v>215</v>
      </c>
      <c r="E13" s="9">
        <v>2</v>
      </c>
      <c r="F13" s="9" t="s">
        <v>232</v>
      </c>
      <c r="G13" s="4" t="s">
        <v>236</v>
      </c>
    </row>
    <row r="14" spans="1:7" x14ac:dyDescent="0.25">
      <c r="A14" s="4" t="s">
        <v>237</v>
      </c>
      <c r="B14" s="4" t="s">
        <v>238</v>
      </c>
      <c r="C14" s="10" t="s">
        <v>239</v>
      </c>
      <c r="D14" s="9" t="s">
        <v>208</v>
      </c>
      <c r="E14" s="9">
        <v>5</v>
      </c>
      <c r="F14" s="9" t="s">
        <v>240</v>
      </c>
      <c r="G14" s="4" t="s">
        <v>241</v>
      </c>
    </row>
    <row r="15" spans="1:7" x14ac:dyDescent="0.25">
      <c r="A15" s="4" t="s">
        <v>242</v>
      </c>
      <c r="B15" s="4" t="s">
        <v>243</v>
      </c>
      <c r="C15" s="10" t="s">
        <v>239</v>
      </c>
      <c r="D15" s="9" t="s">
        <v>215</v>
      </c>
      <c r="E15" s="9">
        <v>3</v>
      </c>
      <c r="F15" s="9" t="s">
        <v>240</v>
      </c>
      <c r="G15" s="4" t="s">
        <v>244</v>
      </c>
    </row>
    <row r="16" spans="1:7" x14ac:dyDescent="0.25">
      <c r="A16" s="4" t="s">
        <v>245</v>
      </c>
      <c r="B16" s="4" t="s">
        <v>246</v>
      </c>
      <c r="C16" s="10" t="s">
        <v>239</v>
      </c>
      <c r="D16" s="9" t="s">
        <v>208</v>
      </c>
      <c r="E16" s="9">
        <v>5</v>
      </c>
      <c r="F16" s="9" t="s">
        <v>240</v>
      </c>
      <c r="G16" s="4" t="s">
        <v>247</v>
      </c>
    </row>
    <row r="17" spans="1:7" x14ac:dyDescent="0.25">
      <c r="A17" s="4" t="s">
        <v>248</v>
      </c>
      <c r="B17" s="4" t="s">
        <v>249</v>
      </c>
      <c r="C17" s="10" t="s">
        <v>239</v>
      </c>
      <c r="D17" s="9" t="s">
        <v>215</v>
      </c>
      <c r="E17" s="9">
        <v>3</v>
      </c>
      <c r="F17" s="9" t="s">
        <v>240</v>
      </c>
      <c r="G17" s="4" t="s">
        <v>250</v>
      </c>
    </row>
    <row r="18" spans="1:7" x14ac:dyDescent="0.25">
      <c r="A18" s="4" t="s">
        <v>251</v>
      </c>
      <c r="B18" s="4" t="s">
        <v>252</v>
      </c>
      <c r="C18" s="11" t="s">
        <v>253</v>
      </c>
      <c r="D18" s="9" t="s">
        <v>208</v>
      </c>
      <c r="E18" s="9" t="s">
        <v>240</v>
      </c>
      <c r="F18" s="9" t="s">
        <v>240</v>
      </c>
      <c r="G18" s="4" t="s">
        <v>254</v>
      </c>
    </row>
    <row r="19" spans="1:7" x14ac:dyDescent="0.25">
      <c r="A19" s="4" t="s">
        <v>255</v>
      </c>
      <c r="B19" s="4" t="s">
        <v>256</v>
      </c>
      <c r="C19" s="11" t="s">
        <v>253</v>
      </c>
      <c r="D19" s="9" t="s">
        <v>208</v>
      </c>
      <c r="E19" s="9" t="s">
        <v>240</v>
      </c>
      <c r="F19" s="9" t="s">
        <v>240</v>
      </c>
      <c r="G19" s="4" t="s">
        <v>257</v>
      </c>
    </row>
    <row r="20" spans="1:7" x14ac:dyDescent="0.25">
      <c r="A20" s="4" t="s">
        <v>258</v>
      </c>
      <c r="B20" s="4" t="s">
        <v>259</v>
      </c>
      <c r="C20" s="11" t="s">
        <v>253</v>
      </c>
      <c r="D20" s="9" t="s">
        <v>208</v>
      </c>
      <c r="E20" s="9" t="s">
        <v>240</v>
      </c>
      <c r="F20" s="9" t="s">
        <v>240</v>
      </c>
      <c r="G20" s="4" t="s">
        <v>260</v>
      </c>
    </row>
    <row r="22" spans="1:7" ht="17.25" x14ac:dyDescent="0.3">
      <c r="A22" s="1" t="s">
        <v>261</v>
      </c>
    </row>
    <row r="23" spans="1:7" x14ac:dyDescent="0.25">
      <c r="A23" s="12" t="s">
        <v>207</v>
      </c>
      <c r="B23" s="13" t="s">
        <v>262</v>
      </c>
      <c r="C23" s="6" t="s">
        <v>263</v>
      </c>
    </row>
    <row r="24" spans="1:7" x14ac:dyDescent="0.25">
      <c r="A24" s="12" t="s">
        <v>239</v>
      </c>
      <c r="B24" s="13" t="s">
        <v>264</v>
      </c>
      <c r="C24" s="14" t="s">
        <v>265</v>
      </c>
    </row>
    <row r="25" spans="1:7" x14ac:dyDescent="0.25">
      <c r="A25" s="12" t="s">
        <v>253</v>
      </c>
      <c r="B25" s="13" t="s">
        <v>266</v>
      </c>
      <c r="C25" s="15" t="s">
        <v>311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zoomScaleNormal="100" workbookViewId="0">
      <selection activeCell="C10" sqref="C10"/>
    </sheetView>
  </sheetViews>
  <sheetFormatPr baseColWidth="10" defaultColWidth="8.7109375" defaultRowHeight="15" x14ac:dyDescent="0.25"/>
  <cols>
    <col min="1" max="1" width="28" customWidth="1"/>
    <col min="2" max="2" width="48" customWidth="1"/>
    <col min="3" max="3" width="10" customWidth="1"/>
    <col min="4" max="4" width="14" customWidth="1"/>
  </cols>
  <sheetData>
    <row r="1" spans="1:4" ht="17.25" x14ac:dyDescent="0.3">
      <c r="A1" s="25" t="s">
        <v>267</v>
      </c>
      <c r="B1" s="25"/>
      <c r="C1" s="25"/>
      <c r="D1" s="25"/>
    </row>
    <row r="2" spans="1:4" x14ac:dyDescent="0.25">
      <c r="A2" s="26" t="s">
        <v>268</v>
      </c>
      <c r="B2" s="26"/>
      <c r="C2" s="26"/>
      <c r="D2" s="26"/>
    </row>
    <row r="4" spans="1:4" x14ac:dyDescent="0.25">
      <c r="A4" s="2" t="s">
        <v>203</v>
      </c>
      <c r="B4" s="2" t="s">
        <v>269</v>
      </c>
      <c r="C4" s="2" t="s">
        <v>270</v>
      </c>
      <c r="D4" s="2" t="s">
        <v>271</v>
      </c>
    </row>
    <row r="5" spans="1:4" ht="25.5" x14ac:dyDescent="0.25">
      <c r="A5" s="4" t="s">
        <v>272</v>
      </c>
      <c r="B5" s="4" t="s">
        <v>273</v>
      </c>
      <c r="C5" s="9">
        <v>7</v>
      </c>
      <c r="D5" s="9">
        <f>C5*350</f>
        <v>2450</v>
      </c>
    </row>
    <row r="6" spans="1:4" ht="25.5" x14ac:dyDescent="0.25">
      <c r="A6" s="3" t="s">
        <v>274</v>
      </c>
      <c r="B6" s="3" t="s">
        <v>275</v>
      </c>
      <c r="C6" s="16">
        <v>8</v>
      </c>
      <c r="D6" s="16">
        <f>C6*350</f>
        <v>2800</v>
      </c>
    </row>
    <row r="7" spans="1:4" x14ac:dyDescent="0.25">
      <c r="A7" s="4" t="s">
        <v>276</v>
      </c>
      <c r="B7" s="4" t="s">
        <v>277</v>
      </c>
      <c r="C7" s="9">
        <v>7</v>
      </c>
      <c r="D7" s="9">
        <f>C7*350</f>
        <v>2450</v>
      </c>
    </row>
    <row r="8" spans="1:4" x14ac:dyDescent="0.25">
      <c r="A8" s="3" t="s">
        <v>278</v>
      </c>
      <c r="B8" s="3" t="s">
        <v>279</v>
      </c>
      <c r="C8" s="16">
        <v>5</v>
      </c>
      <c r="D8" s="16">
        <f>C8*350</f>
        <v>1750</v>
      </c>
    </row>
    <row r="9" spans="1:4" x14ac:dyDescent="0.25">
      <c r="A9" s="4" t="s">
        <v>280</v>
      </c>
      <c r="B9" s="4" t="s">
        <v>281</v>
      </c>
      <c r="C9" s="9">
        <v>3</v>
      </c>
      <c r="D9" s="9">
        <f>C9*350</f>
        <v>1050</v>
      </c>
    </row>
    <row r="10" spans="1:4" x14ac:dyDescent="0.25">
      <c r="A10" s="17" t="s">
        <v>282</v>
      </c>
      <c r="B10" s="17"/>
      <c r="C10" s="18">
        <f>SUM(C5:C9)</f>
        <v>30</v>
      </c>
      <c r="D10" s="18">
        <f>SUM(D5:D9)</f>
        <v>10500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topLeftCell="A4" zoomScaleNormal="100" workbookViewId="0">
      <selection activeCell="D10" sqref="D10"/>
    </sheetView>
  </sheetViews>
  <sheetFormatPr baseColWidth="10" defaultColWidth="8.7109375" defaultRowHeight="15" x14ac:dyDescent="0.25"/>
  <cols>
    <col min="1" max="1" width="28" customWidth="1"/>
    <col min="2" max="2" width="38" customWidth="1"/>
    <col min="3" max="3" width="30" customWidth="1"/>
    <col min="4" max="4" width="14" customWidth="1"/>
  </cols>
  <sheetData>
    <row r="1" spans="1:4" ht="17.25" x14ac:dyDescent="0.3">
      <c r="A1" s="25" t="s">
        <v>283</v>
      </c>
      <c r="B1" s="25"/>
      <c r="C1" s="25"/>
      <c r="D1" s="25"/>
    </row>
    <row r="2" spans="1:4" x14ac:dyDescent="0.25">
      <c r="A2" s="26" t="s">
        <v>284</v>
      </c>
      <c r="B2" s="26"/>
      <c r="C2" s="26"/>
      <c r="D2" s="26"/>
    </row>
    <row r="4" spans="1:4" x14ac:dyDescent="0.25">
      <c r="A4" s="2" t="s">
        <v>285</v>
      </c>
      <c r="B4" s="2" t="s">
        <v>286</v>
      </c>
      <c r="C4" s="2" t="s">
        <v>287</v>
      </c>
      <c r="D4" s="2" t="s">
        <v>288</v>
      </c>
    </row>
    <row r="5" spans="1:4" ht="45" x14ac:dyDescent="0.25">
      <c r="A5" s="4" t="s">
        <v>289</v>
      </c>
      <c r="B5" s="4" t="s">
        <v>290</v>
      </c>
      <c r="C5" s="23" t="s">
        <v>312</v>
      </c>
      <c r="D5" s="19">
        <v>18</v>
      </c>
    </row>
    <row r="6" spans="1:4" ht="45" x14ac:dyDescent="0.25">
      <c r="A6" s="3" t="s">
        <v>291</v>
      </c>
      <c r="B6" s="3" t="s">
        <v>292</v>
      </c>
      <c r="C6" s="24" t="s">
        <v>313</v>
      </c>
      <c r="D6" s="20">
        <v>10.8</v>
      </c>
    </row>
    <row r="7" spans="1:4" ht="45" x14ac:dyDescent="0.25">
      <c r="A7" s="4" t="s">
        <v>14</v>
      </c>
      <c r="B7" s="4" t="s">
        <v>293</v>
      </c>
      <c r="C7" s="23" t="s">
        <v>315</v>
      </c>
      <c r="D7" s="19">
        <v>0.08</v>
      </c>
    </row>
    <row r="8" spans="1:4" ht="45" x14ac:dyDescent="0.25">
      <c r="A8" s="3" t="s">
        <v>294</v>
      </c>
      <c r="B8" s="3" t="s">
        <v>295</v>
      </c>
      <c r="C8" s="24" t="s">
        <v>314</v>
      </c>
      <c r="D8" s="20">
        <v>0.03</v>
      </c>
    </row>
    <row r="9" spans="1:4" ht="45" x14ac:dyDescent="0.25">
      <c r="A9" s="4" t="s">
        <v>296</v>
      </c>
      <c r="B9" s="4" t="s">
        <v>297</v>
      </c>
      <c r="C9" s="23" t="s">
        <v>316</v>
      </c>
      <c r="D9" s="19">
        <v>0.01</v>
      </c>
    </row>
    <row r="10" spans="1:4" ht="25.5" x14ac:dyDescent="0.25">
      <c r="A10" s="3" t="s">
        <v>176</v>
      </c>
      <c r="B10" s="3" t="s">
        <v>318</v>
      </c>
      <c r="C10" s="24" t="s">
        <v>317</v>
      </c>
      <c r="D10" s="20">
        <v>0.3</v>
      </c>
    </row>
    <row r="11" spans="1:4" ht="25.5" x14ac:dyDescent="0.25">
      <c r="A11" s="4" t="s">
        <v>145</v>
      </c>
      <c r="B11" s="4" t="s">
        <v>298</v>
      </c>
      <c r="C11" s="4" t="s">
        <v>299</v>
      </c>
      <c r="D11" s="19">
        <v>0</v>
      </c>
    </row>
    <row r="12" spans="1:4" x14ac:dyDescent="0.25">
      <c r="A12" s="3" t="s">
        <v>119</v>
      </c>
      <c r="B12" s="3" t="s">
        <v>300</v>
      </c>
      <c r="C12" s="24" t="s">
        <v>319</v>
      </c>
      <c r="D12" s="20">
        <v>0</v>
      </c>
    </row>
    <row r="13" spans="1:4" x14ac:dyDescent="0.25">
      <c r="A13" s="17" t="s">
        <v>282</v>
      </c>
      <c r="B13" s="17"/>
      <c r="C13" s="17"/>
      <c r="D13" s="21">
        <f>SUM(D5:D12)</f>
        <v>29.220000000000002</v>
      </c>
    </row>
    <row r="15" spans="1:4" x14ac:dyDescent="0.25">
      <c r="A15" s="5" t="s">
        <v>301</v>
      </c>
    </row>
    <row r="16" spans="1:4" x14ac:dyDescent="0.25">
      <c r="A16" s="13" t="s">
        <v>302</v>
      </c>
      <c r="C16" s="12" t="s">
        <v>303</v>
      </c>
      <c r="D16" s="22" t="s">
        <v>328</v>
      </c>
    </row>
    <row r="18" spans="1:2" x14ac:dyDescent="0.25">
      <c r="A18" s="5" t="s">
        <v>304</v>
      </c>
    </row>
    <row r="19" spans="1:2" x14ac:dyDescent="0.25">
      <c r="A19" s="13" t="s">
        <v>305</v>
      </c>
      <c r="B19" s="13" t="s">
        <v>306</v>
      </c>
    </row>
    <row r="20" spans="1:2" x14ac:dyDescent="0.25">
      <c r="A20" s="13" t="s">
        <v>307</v>
      </c>
      <c r="B20" s="13" t="s">
        <v>308</v>
      </c>
    </row>
    <row r="21" spans="1:2" x14ac:dyDescent="0.25">
      <c r="A21" s="13" t="s">
        <v>309</v>
      </c>
      <c r="B21" s="13" t="s">
        <v>310</v>
      </c>
    </row>
  </sheetData>
  <mergeCells count="2">
    <mergeCell ref="A1:D1"/>
    <mergeCell ref="A2:D2"/>
  </mergeCells>
  <hyperlinks>
    <hyperlink ref="C5" r:id="rId1" location="/estimate?id=160f69a3455ac525e8a4d39dfa9a1cf643c7019b" xr:uid="{2B849867-6303-470B-8DB8-6EFCB37191ED}"/>
    <hyperlink ref="C6" r:id="rId2" location="/estimate?id=bbfd70d3c28f23371d09c4687b85daf6caa09dd2" xr:uid="{F7A23009-438C-489E-B27B-715760A0EC79}"/>
    <hyperlink ref="C8" r:id="rId3" location="/estimate?id=5d01f882d1ec9d63eba15e913d9f3b72c17fa081" xr:uid="{3C25C040-B1DE-47E5-BF62-4594AE954289}"/>
    <hyperlink ref="C7" r:id="rId4" location="/estimate?id=9631fe23f797fc31bb58f7f07fde4d456d08cd38" xr:uid="{E9CFD445-391C-412F-A435-B79CDA42995F}"/>
    <hyperlink ref="C9" r:id="rId5" location="/estimate?id=4f9eb3bf8e5b11012fbc711bac0ea7e2be01bab1" xr:uid="{8134A4EB-50EF-4BFC-9828-9860AE5587A8}"/>
    <hyperlink ref="C10" r:id="rId6" location="api" xr:uid="{C1341FE2-C50E-40D6-BE8D-148D91EE17F2}"/>
    <hyperlink ref="C12" r:id="rId7" xr:uid="{98CC470E-1712-4FB7-A409-F0BFBE6C800E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1. Cloud</vt:lpstr>
      <vt:lpstr>2. Base de données</vt:lpstr>
      <vt:lpstr>3. Framework API</vt:lpstr>
      <vt:lpstr>4. Orchestrateur</vt:lpstr>
      <vt:lpstr>5. Monitoring LLM</vt:lpstr>
      <vt:lpstr>6. Recherche web</vt:lpstr>
      <vt:lpstr>7. LLM</vt:lpstr>
      <vt:lpstr>Résumé choix</vt:lpstr>
      <vt:lpstr>Macro Backlog</vt:lpstr>
      <vt:lpstr>CAPEX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Gush</cp:lastModifiedBy>
  <cp:revision>0</cp:revision>
  <dcterms:created xsi:type="dcterms:W3CDTF">2026-04-15T23:08:48Z</dcterms:created>
  <dcterms:modified xsi:type="dcterms:W3CDTF">2026-04-18T08:28:09Z</dcterms:modified>
  <dc:language>en-US</dc:language>
</cp:coreProperties>
</file>